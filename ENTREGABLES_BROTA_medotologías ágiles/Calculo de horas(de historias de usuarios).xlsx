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5fcb003f428bf93/Documentos/"/>
    </mc:Choice>
  </mc:AlternateContent>
  <xr:revisionPtr revIDLastSave="475" documentId="8_{80133349-140C-4719-897A-C1334E579940}" xr6:coauthVersionLast="47" xr6:coauthVersionMax="47" xr10:uidLastSave="{7ACF648E-58C5-4212-9D6F-06A4C085054C}"/>
  <bookViews>
    <workbookView xWindow="-108" yWindow="-108" windowWidth="23256" windowHeight="1389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HXbM0IPPXbYAIrOjcJvVVLMry/9ij6UKQ8ojNDCe6I="/>
    </ext>
  </extLst>
</workbook>
</file>

<file path=xl/calcChain.xml><?xml version="1.0" encoding="utf-8"?>
<calcChain xmlns="http://schemas.openxmlformats.org/spreadsheetml/2006/main">
  <c r="E3" i="1" l="1"/>
  <c r="D67" i="1"/>
  <c r="E67" i="1"/>
  <c r="H69" i="1"/>
  <c r="D59" i="1"/>
  <c r="E59" i="1"/>
  <c r="H61" i="1"/>
  <c r="D51" i="1"/>
  <c r="E51" i="1"/>
  <c r="H53" i="1"/>
  <c r="D43" i="1"/>
  <c r="E43" i="1"/>
  <c r="H45" i="1"/>
  <c r="D35" i="1"/>
  <c r="E35" i="1"/>
  <c r="H37" i="1"/>
  <c r="H29" i="1"/>
  <c r="E27" i="1"/>
  <c r="D27" i="1"/>
  <c r="H21" i="1"/>
  <c r="E19" i="1"/>
  <c r="D19" i="1"/>
  <c r="H13" i="1"/>
  <c r="E11" i="1"/>
  <c r="D11" i="1"/>
  <c r="H5" i="1"/>
  <c r="D3" i="1"/>
</calcChain>
</file>

<file path=xl/sharedStrings.xml><?xml version="1.0" encoding="utf-8"?>
<sst xmlns="http://schemas.openxmlformats.org/spreadsheetml/2006/main" count="126" uniqueCount="61">
  <si>
    <t>SPRINT 1</t>
  </si>
  <si>
    <t>Usuarios</t>
  </si>
  <si>
    <t>Semanas destinadas</t>
  </si>
  <si>
    <t>HISTORIA DE USUARIO</t>
  </si>
  <si>
    <t>PUNTAJE</t>
  </si>
  <si>
    <t>INTEGRANTES</t>
  </si>
  <si>
    <t>DÍAS DEDICADOS A LA HISTORIA</t>
  </si>
  <si>
    <t>HORAS DEL DÍA</t>
  </si>
  <si>
    <t>CAPACIDAD TOTAL (HORAS)</t>
  </si>
  <si>
    <t xml:space="preserve">VELOCIDAD </t>
  </si>
  <si>
    <r>
      <rPr>
        <b/>
        <sz val="14"/>
        <color theme="1"/>
        <rFont val="Calibri"/>
        <family val="2"/>
      </rPr>
      <t>H1</t>
    </r>
    <r>
      <rPr>
        <sz val="14"/>
        <color theme="1"/>
        <rFont val="Calibri"/>
      </rPr>
      <t xml:space="preserve"> Como estudiante, Quiero registrarme e iniciar sesión para que mis respuestas y perfil queden guardados. </t>
    </r>
  </si>
  <si>
    <r>
      <rPr>
        <b/>
        <sz val="14"/>
        <color theme="1"/>
        <rFont val="Calibri"/>
        <family val="2"/>
      </rPr>
      <t xml:space="preserve">H2 </t>
    </r>
    <r>
      <rPr>
        <sz val="14"/>
        <color theme="1"/>
        <rFont val="Calibri"/>
        <family val="2"/>
      </rPr>
      <t>Como estudiante,</t>
    </r>
    <r>
      <rPr>
        <b/>
        <sz val="14"/>
        <color theme="1"/>
        <rFont val="Calibri"/>
        <family val="2"/>
      </rPr>
      <t xml:space="preserve"> </t>
    </r>
    <r>
      <rPr>
        <sz val="14"/>
        <color theme="1"/>
        <rFont val="Calibri"/>
        <family val="2"/>
      </rPr>
      <t>Quiero responder el cuestionario vocacional para reflejar mis habilidades e intereses.</t>
    </r>
  </si>
  <si>
    <r>
      <rPr>
        <b/>
        <sz val="14"/>
        <color theme="1"/>
        <rFont val="Calibri"/>
        <family val="2"/>
      </rPr>
      <t>H3</t>
    </r>
    <r>
      <rPr>
        <sz val="14"/>
        <color theme="1"/>
        <rFont val="Calibri"/>
      </rPr>
      <t xml:space="preserve"> Como estudiante, Quiero consultar mi perfil vocacional para conocer mis fortalezas y áreas de mejora.</t>
    </r>
  </si>
  <si>
    <r>
      <t xml:space="preserve">H4 </t>
    </r>
    <r>
      <rPr>
        <sz val="14"/>
        <color theme="1"/>
        <rFont val="Calibri"/>
        <family val="2"/>
      </rPr>
      <t>Como admisitrador, Quiero que el sistema recomiende programas educativos basados en el perfil vocacional del estudiante.</t>
    </r>
    <r>
      <rPr>
        <b/>
        <sz val="14"/>
        <color theme="1"/>
        <rFont val="Calibri"/>
        <family val="2"/>
      </rPr>
      <t xml:space="preserve">
</t>
    </r>
  </si>
  <si>
    <t>SPRINT 2</t>
  </si>
  <si>
    <t>Productos</t>
  </si>
  <si>
    <r>
      <rPr>
        <b/>
        <sz val="14"/>
        <color theme="1"/>
        <rFont val="Calibri"/>
        <family val="2"/>
      </rPr>
      <t xml:space="preserve">H1 </t>
    </r>
    <r>
      <rPr>
        <sz val="14"/>
        <color theme="1"/>
        <rFont val="Calibri"/>
        <family val="2"/>
      </rPr>
      <t xml:space="preserve">Como estudiante,Quiero consultar la información detallada de un programa para conocer requisitos, duración y modalidad.
</t>
    </r>
  </si>
  <si>
    <r>
      <rPr>
        <b/>
        <sz val="14"/>
        <color theme="1"/>
        <rFont val="Calibri"/>
        <family val="2"/>
      </rPr>
      <t>H2</t>
    </r>
    <r>
      <rPr>
        <sz val="14"/>
        <color theme="1"/>
        <rFont val="Calibri"/>
        <family val="2"/>
      </rPr>
      <t xml:space="preserve"> Como estudiante, Quiero comparar programas académicos para elegir la mejor opción según mi perfil.
</t>
    </r>
  </si>
  <si>
    <r>
      <rPr>
        <b/>
        <sz val="14"/>
        <color theme="1"/>
        <rFont val="Calibri"/>
        <family val="2"/>
      </rPr>
      <t>H3</t>
    </r>
    <r>
      <rPr>
        <sz val="14"/>
        <color theme="1"/>
        <rFont val="Calibri"/>
        <family val="2"/>
      </rPr>
      <t xml:space="preserve"> Como estudiante, Quiero filtrar programas por fecha de convocatoria para ver solo las opciones vigentes.</t>
    </r>
  </si>
  <si>
    <r>
      <rPr>
        <b/>
        <sz val="14"/>
        <color theme="1"/>
        <rFont val="Calibri"/>
        <family val="2"/>
      </rPr>
      <t>H4</t>
    </r>
    <r>
      <rPr>
        <sz val="14"/>
        <color theme="1"/>
        <rFont val="Calibri"/>
        <family val="2"/>
      </rPr>
      <t xml:space="preserve"> Como administrador,Quiero generar y descargar reportes en PDF para analizar qué programas consultan más los estudiantes.
</t>
    </r>
  </si>
  <si>
    <t>SPRINT 3</t>
  </si>
  <si>
    <r>
      <rPr>
        <b/>
        <sz val="14"/>
        <color theme="1"/>
        <rFont val="Calibri"/>
        <family val="2"/>
      </rPr>
      <t>H1</t>
    </r>
    <r>
      <rPr>
        <sz val="14"/>
        <color theme="1"/>
        <rFont val="Calibri"/>
        <family val="2"/>
      </rPr>
      <t xml:space="preserve"> Quiero crear, consultar, editar y eliminar instituciones educativas para mantener el catálogo actualizado.
</t>
    </r>
  </si>
  <si>
    <r>
      <rPr>
        <b/>
        <sz val="14"/>
        <color theme="1"/>
        <rFont val="Calibri"/>
        <family val="2"/>
      </rPr>
      <t>H2</t>
    </r>
    <r>
      <rPr>
        <sz val="14"/>
        <color theme="1"/>
        <rFont val="Calibri"/>
        <family val="2"/>
      </rPr>
      <t xml:space="preserve"> Como administrador, Quiero crear, consultar, editar y eliminar programas académicos para que los estudiantes vean información vigente.
</t>
    </r>
  </si>
  <si>
    <r>
      <t xml:space="preserve">H3 </t>
    </r>
    <r>
      <rPr>
        <sz val="14"/>
        <color theme="1"/>
        <rFont val="Calibri"/>
        <family val="2"/>
      </rPr>
      <t>Como Administador, Quiero crear, consultar, editar y eliminar convocatorias para gestionar las fechas de inscripción.</t>
    </r>
  </si>
  <si>
    <r>
      <rPr>
        <b/>
        <sz val="14"/>
        <color theme="1"/>
        <rFont val="Calibri"/>
        <family val="2"/>
      </rPr>
      <t>H4</t>
    </r>
    <r>
      <rPr>
        <sz val="14"/>
        <color theme="1"/>
        <rFont val="Calibri"/>
        <family val="2"/>
      </rPr>
      <t xml:space="preserve">Como administrador, Quiero consultar estadísticas de uso del sistema para identificar los programas e instituciones más buscados.
</t>
    </r>
  </si>
  <si>
    <t>SPRINT 4</t>
  </si>
  <si>
    <t xml:space="preserve">Administracion </t>
  </si>
  <si>
    <t>SPRINT 5</t>
  </si>
  <si>
    <t>SPRINT 6</t>
  </si>
  <si>
    <r>
      <rPr>
        <b/>
        <sz val="14"/>
        <color theme="1"/>
        <rFont val="Calibri"/>
        <family val="2"/>
      </rPr>
      <t>H3</t>
    </r>
    <r>
      <rPr>
        <sz val="14"/>
        <color theme="1"/>
        <rFont val="Calibri"/>
        <family val="2"/>
      </rPr>
      <t xml:space="preserve"> Como institución, quiero gestionar las inscripciones recibidas en mis convocatorias para aceptar o rechazar candidatos de forma organizada.</t>
    </r>
  </si>
  <si>
    <r>
      <rPr>
        <b/>
        <sz val="14"/>
        <color theme="1"/>
        <rFont val="Calibri"/>
        <family val="2"/>
      </rPr>
      <t>H1</t>
    </r>
    <r>
      <rPr>
        <sz val="14"/>
        <color theme="1"/>
        <rFont val="Calibri"/>
        <family val="2"/>
      </rPr>
      <t xml:space="preserve"> Como estudiante, quiero ver notificaciones dentro de la plataforma para estar informado de novedades en mis programas favoritos sin salir de la aplicación.
</t>
    </r>
  </si>
  <si>
    <r>
      <rPr>
        <b/>
        <sz val="14"/>
        <color theme="1"/>
        <rFont val="Calibri"/>
        <family val="2"/>
      </rPr>
      <t>H2</t>
    </r>
    <r>
      <rPr>
        <sz val="14"/>
        <color theme="1"/>
        <rFont val="Calibri"/>
        <family val="2"/>
      </rPr>
      <t xml:space="preserve"> Como estudiante, quiero configurar qué notificaciones recibo por correo para no saturar mi bandeja de entrada con alertas que no me interesan.</t>
    </r>
  </si>
  <si>
    <r>
      <rPr>
        <b/>
        <sz val="14"/>
        <color theme="1"/>
        <rFont val="Calibri"/>
        <family val="2"/>
      </rPr>
      <t>H4</t>
    </r>
    <r>
      <rPr>
        <sz val="14"/>
        <color theme="1"/>
        <rFont val="Calibri"/>
        <family val="2"/>
      </rPr>
      <t xml:space="preserve"> Como administrador, quiero monitorear el volumen de inscripciones por programa para detectar alta demanda y alertar a las instituciones oportunamente.</t>
    </r>
  </si>
  <si>
    <t>Inscripciones</t>
  </si>
  <si>
    <t>Notificaciones</t>
  </si>
  <si>
    <r>
      <rPr>
        <b/>
        <sz val="14"/>
        <color theme="1"/>
        <rFont val="Calibri"/>
        <family val="2"/>
      </rPr>
      <t>H4</t>
    </r>
    <r>
      <rPr>
        <sz val="14"/>
        <color theme="1"/>
        <rFont val="Calibri"/>
        <family val="2"/>
      </rPr>
      <t xml:space="preserve"> CComo administrador, quiero configurar las plantillas de los correos automáticos del sistema para mantener una comunicación coherente con la identidad visual de Brota.</t>
    </r>
  </si>
  <si>
    <r>
      <rPr>
        <b/>
        <sz val="14"/>
        <color theme="1"/>
        <rFont val="Calibri"/>
        <family val="2"/>
      </rPr>
      <t>H3</t>
    </r>
    <r>
      <rPr>
        <sz val="14"/>
        <color theme="1"/>
        <rFont val="Calibri"/>
        <family val="2"/>
      </rPr>
      <t xml:space="preserve"> Como institución, quiero recibir alertas cuando un estudiante solicite información sobre mis programas para responder a tiempo y no dejar solicitudes sin atender..</t>
    </r>
  </si>
  <si>
    <r>
      <rPr>
        <b/>
        <sz val="14"/>
        <color theme="1"/>
        <rFont val="Calibri"/>
        <family val="2"/>
      </rPr>
      <t>H1</t>
    </r>
    <r>
      <rPr>
        <sz val="14"/>
        <color theme="1"/>
        <rFont val="Calibri"/>
        <family val="2"/>
      </rPr>
      <t xml:space="preserve"> Como estudiante, quiero inscribirme a una convocatoria directamente desde la plataforma para no tener que ir a otro sitio a realizar el proceso.
</t>
    </r>
  </si>
  <si>
    <r>
      <rPr>
        <b/>
        <sz val="14"/>
        <color theme="1"/>
        <rFont val="Calibri"/>
        <family val="2"/>
      </rPr>
      <t>H2</t>
    </r>
    <r>
      <rPr>
        <sz val="14"/>
        <color theme="1"/>
        <rFont val="Calibri"/>
        <family val="2"/>
      </rPr>
      <t xml:space="preserve"> Como estudiante, quiero consultar el estado de mis inscripciones para saber si fui aceptado, rechazado o estoy en lista de espera.</t>
    </r>
  </si>
  <si>
    <t>SPRINT 7</t>
  </si>
  <si>
    <r>
      <rPr>
        <b/>
        <sz val="14"/>
        <color theme="1"/>
        <rFont val="Calibri"/>
        <family val="2"/>
      </rPr>
      <t>H1</t>
    </r>
    <r>
      <rPr>
        <sz val="14"/>
        <color theme="1"/>
        <rFont val="Calibri"/>
        <family val="2"/>
      </rPr>
      <t xml:space="preserve"> Como estudiante, quiero ganar insignias al completar actividades en la plataforma para mantenerme motivado durante mi proceso de orientación vocacional.</t>
    </r>
  </si>
  <si>
    <r>
      <rPr>
        <b/>
        <sz val="14"/>
        <color theme="1"/>
        <rFont val="Calibri"/>
        <family val="2"/>
      </rPr>
      <t>H2</t>
    </r>
    <r>
      <rPr>
        <sz val="14"/>
        <color theme="1"/>
        <rFont val="Calibri"/>
        <family val="2"/>
      </rPr>
      <t xml:space="preserve"> Como estudiante, quiero ver un ranking de los programas más populares entre estudiantes con perfil similar al mío para descubrir opciones que no conocía.</t>
    </r>
  </si>
  <si>
    <r>
      <rPr>
        <b/>
        <sz val="14"/>
        <color theme="1"/>
        <rFont val="Calibri"/>
        <family val="2"/>
      </rPr>
      <t>H3</t>
    </r>
    <r>
      <rPr>
        <sz val="14"/>
        <color theme="1"/>
        <rFont val="Calibri"/>
        <family val="2"/>
      </rPr>
      <t xml:space="preserve"> Como administrador, quiero gestionar las insignias disponibles en la plataforma para ajustarlas según los objetivos del proyecto Brota.</t>
    </r>
  </si>
  <si>
    <r>
      <rPr>
        <b/>
        <sz val="14"/>
        <color theme="1"/>
        <rFont val="Calibri"/>
        <family val="2"/>
      </rPr>
      <t>H4</t>
    </r>
    <r>
      <rPr>
        <sz val="14"/>
        <color theme="1"/>
        <rFont val="Calibri"/>
        <family val="2"/>
      </rPr>
      <t xml:space="preserve"> Como institución, quiero ver el perfil vocacional agregado de los estudiantes que se inscriben en mis programas para ajustar mi oferta educativa a las necesidades reales.</t>
    </r>
  </si>
  <si>
    <r>
      <rPr>
        <b/>
        <sz val="14"/>
        <color theme="1"/>
        <rFont val="Calibri"/>
        <family val="2"/>
      </rPr>
      <t>H3</t>
    </r>
    <r>
      <rPr>
        <sz val="14"/>
        <color theme="1"/>
        <rFont val="Calibri"/>
        <family val="2"/>
      </rPr>
      <t xml:space="preserve"> Como institución, quiero recibir un reporte mensual de mis programas con métricas clave para presentarlo a mi equipo directivo sin tener que construirlo manualmente.</t>
    </r>
  </si>
  <si>
    <r>
      <rPr>
        <b/>
        <sz val="14"/>
        <color theme="1"/>
        <rFont val="Calibri"/>
        <family val="2"/>
      </rPr>
      <t>H4</t>
    </r>
    <r>
      <rPr>
        <sz val="14"/>
        <color theme="1"/>
        <rFont val="Calibri"/>
        <family val="2"/>
      </rPr>
      <t xml:space="preserve"> Como administrador, quiero generar reportes personalizados combinando múltiples métricas para presentar resultados a las directivas del proyecto.</t>
    </r>
  </si>
  <si>
    <r>
      <rPr>
        <b/>
        <sz val="14"/>
        <color theme="1"/>
        <rFont val="Calibri"/>
        <family val="2"/>
      </rPr>
      <t>H2</t>
    </r>
    <r>
      <rPr>
        <sz val="14"/>
        <color theme="1"/>
        <rFont val="Calibri"/>
        <family val="2"/>
      </rPr>
      <t xml:space="preserve"> Como administrador, quiero un panel de analíticas avanzadas para tomar decisiones basadas en el comportamiento real de los usuarios de Brota.</t>
    </r>
  </si>
  <si>
    <r>
      <rPr>
        <b/>
        <sz val="14"/>
        <color theme="1"/>
        <rFont val="Calibri"/>
        <family val="2"/>
      </rPr>
      <t>H1</t>
    </r>
    <r>
      <rPr>
        <sz val="14"/>
        <color theme="1"/>
        <rFont val="Calibri"/>
        <family val="2"/>
      </rPr>
      <t xml:space="preserve"> Como estudiante, quiero ver mi progreso dentro de la plataforma para saber qué pasos me faltan en mi proceso de orientación vocacional.</t>
    </r>
  </si>
  <si>
    <t>SPRINT 8</t>
  </si>
  <si>
    <t>Reportes</t>
  </si>
  <si>
    <t>Calidad</t>
  </si>
  <si>
    <t>SPRINT 9</t>
  </si>
  <si>
    <t>Escalabilidad</t>
  </si>
  <si>
    <r>
      <rPr>
        <b/>
        <sz val="14"/>
        <color theme="1"/>
        <rFont val="Calibri"/>
        <family val="2"/>
      </rPr>
      <t>H1</t>
    </r>
    <r>
      <rPr>
        <sz val="14"/>
        <color theme="1"/>
        <rFont val="Calibri"/>
        <family val="2"/>
      </rPr>
      <t xml:space="preserve"> Como estudiante, quiero que mis datos personales y resultados vocacionales estén protegidos, para confiar en que mi información no será expuesta a terceros.</t>
    </r>
  </si>
  <si>
    <r>
      <rPr>
        <b/>
        <sz val="14"/>
        <color theme="1"/>
        <rFont val="Calibri"/>
        <family val="2"/>
      </rPr>
      <t>H3</t>
    </r>
    <r>
      <rPr>
        <sz val="14"/>
        <color theme="1"/>
        <rFont val="Calibri"/>
        <family val="2"/>
      </rPr>
      <t xml:space="preserve"> Como administrador, quiero que el sistema responda en menos de 2 segundos bajo carga normal, para garantizar una experiencia fluida a todos los usuarios.</t>
    </r>
  </si>
  <si>
    <r>
      <rPr>
        <b/>
        <sz val="14"/>
        <color theme="1"/>
        <rFont val="Calibri"/>
        <family val="2"/>
      </rPr>
      <t>H4</t>
    </r>
    <r>
      <rPr>
        <sz val="14"/>
        <color theme="1"/>
        <rFont val="Calibri"/>
        <family val="2"/>
      </rPr>
      <t xml:space="preserve"> Como administrador, quiero gestionar accesos sospechosos para proteger la integridad del sistema y los datos de los usuarios.</t>
    </r>
  </si>
  <si>
    <r>
      <rPr>
        <b/>
        <sz val="14"/>
        <color theme="1"/>
        <rFont val="Calibri"/>
        <family val="2"/>
      </rPr>
      <t>H2</t>
    </r>
    <r>
      <rPr>
        <sz val="14"/>
        <color theme="1"/>
        <rFont val="Calibri"/>
        <family val="2"/>
      </rPr>
      <t xml:space="preserve"> Como estudiante, quiero que la plataforma funcione con la misma velocidad y estabilidad sin importar cuántos usuarios estén conectados al mismo tiempo, para no experimentar lentitud ni errores durante mi proceso de orientación vocacional.</t>
    </r>
  </si>
  <si>
    <r>
      <rPr>
        <b/>
        <sz val="14"/>
        <color theme="1"/>
        <rFont val="Calibri"/>
        <family val="2"/>
      </rPr>
      <t>H3</t>
    </r>
    <r>
      <rPr>
        <sz val="14"/>
        <color theme="1"/>
        <rFont val="Calibri"/>
        <family val="2"/>
      </rPr>
      <t xml:space="preserve"> Como administrador, quiero poder escalar la infraestructura del sistema de forma controlada cuando el número de usuarios o instituciones crezca, para garantizar la continuidad del servicio sin intervenciones de emergencia.</t>
    </r>
  </si>
  <si>
    <r>
      <rPr>
        <b/>
        <sz val="14"/>
        <color theme="1"/>
        <rFont val="Calibri"/>
        <family val="2"/>
      </rPr>
      <t>H4</t>
    </r>
    <r>
      <rPr>
        <sz val="14"/>
        <color theme="1"/>
        <rFont val="Calibri"/>
        <family val="2"/>
      </rPr>
      <t xml:space="preserve"> Como institución, quiero poder publicar un número creciente de programas y gestionar un volumen alto de inscripciones sin que el sistema se vuelva lento o inestable, para operar con confianza a medida que Brota crece.</t>
    </r>
  </si>
  <si>
    <r>
      <rPr>
        <b/>
        <sz val="14"/>
        <color theme="1"/>
        <rFont val="Calibri"/>
        <family val="2"/>
      </rPr>
      <t xml:space="preserve">H1 </t>
    </r>
    <r>
      <rPr>
        <sz val="14"/>
        <color theme="1"/>
        <rFont val="Calibri"/>
        <family val="2"/>
      </rPr>
      <t xml:space="preserve">Como estudiante, quiero navegar la plataforma desde cualquier dispositivo de forma cómoda, para acceder a mi orientación vocacional sin importar si uso celular o computador.
</t>
    </r>
  </si>
  <si>
    <r>
      <t xml:space="preserve">H2 </t>
    </r>
    <r>
      <rPr>
        <sz val="14"/>
        <color theme="1"/>
        <rFont val="Calibri"/>
        <family val="2"/>
      </rPr>
      <t>Como estudiante, quiero recibir notificaciones cuando una convocatoria de mis favoritos esté por cerrar, para no perder la oportunidad de inscribirme a tiempo.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</si>
</sst>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4"/>
      <color theme="1"/>
      <name val="Calibri"/>
    </font>
    <font>
      <sz val="11"/>
      <name val="Calibri"/>
    </font>
    <font>
      <b/>
      <sz val="14"/>
      <color rgb="FFFFFFFF"/>
      <name val="Calibri"/>
    </font>
    <font>
      <b/>
      <sz val="14"/>
      <color theme="0"/>
      <name val="Calibri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name val="Calibri"/>
      <family val="2"/>
    </font>
    <font>
      <b/>
      <sz val="14"/>
      <color rgb="FFFFFFFF"/>
      <name val="Calibri"/>
      <family val="2"/>
    </font>
    <font>
      <b/>
      <sz val="14"/>
      <color theme="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2" borderId="6" xfId="0" applyFont="1" applyFill="1" applyBorder="1" applyAlignment="1">
      <alignment horizontal="center"/>
    </xf>
    <xf numFmtId="0" fontId="7" fillId="0" borderId="9" xfId="0" applyFont="1" applyBorder="1" applyAlignment="1">
      <alignment wrapText="1"/>
    </xf>
    <xf numFmtId="0" fontId="7" fillId="0" borderId="14" xfId="0" applyFont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9" fillId="2" borderId="6" xfId="0" applyFont="1" applyFill="1" applyBorder="1" applyAlignment="1">
      <alignment horizontal="center"/>
    </xf>
    <xf numFmtId="0" fontId="10" fillId="2" borderId="9" xfId="0" applyFont="1" applyFill="1" applyBorder="1"/>
    <xf numFmtId="0" fontId="10" fillId="2" borderId="10" xfId="0" applyFont="1" applyFill="1" applyBorder="1"/>
    <xf numFmtId="0" fontId="9" fillId="2" borderId="10" xfId="0" applyFont="1" applyFill="1" applyBorder="1"/>
    <xf numFmtId="0" fontId="10" fillId="2" borderId="11" xfId="0" applyFont="1" applyFill="1" applyBorder="1"/>
    <xf numFmtId="0" fontId="7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D710A1-D33C-473A-A72C-BF84EFDA8384}">
  <we:reference id="wa200009404" version="1.0.0.8" store="es-CO" storeType="OMEX"/>
  <we:alternateReferences>
    <we:reference id="WA200009404" version="1.0.0.8" store="" storeType="OMEX"/>
  </we:alternateReferences>
  <we:properties>
    <we:property name="claude.fileId" value="&quot;55a3d5f2-d0d6-4f34-b5d9-184b104b3c0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981"/>
  <sheetViews>
    <sheetView tabSelected="1" topLeftCell="B66" workbookViewId="0">
      <selection activeCell="C75" sqref="C75"/>
    </sheetView>
  </sheetViews>
  <sheetFormatPr baseColWidth="10" defaultColWidth="14.44140625" defaultRowHeight="15" customHeight="1" x14ac:dyDescent="0.3"/>
  <cols>
    <col min="1" max="1" width="10.6640625" customWidth="1"/>
    <col min="2" max="2" width="55.5546875" customWidth="1"/>
    <col min="3" max="3" width="11.44140625" customWidth="1"/>
    <col min="4" max="4" width="17.33203125" customWidth="1"/>
    <col min="5" max="5" width="36.6640625" customWidth="1"/>
    <col min="6" max="6" width="19" customWidth="1"/>
    <col min="7" max="7" width="32.6640625" customWidth="1"/>
    <col min="8" max="8" width="15" customWidth="1"/>
    <col min="9" max="26" width="10.6640625" customWidth="1"/>
  </cols>
  <sheetData>
    <row r="2" spans="2:8" ht="18" x14ac:dyDescent="0.35">
      <c r="B2" s="51" t="s">
        <v>0</v>
      </c>
      <c r="C2" s="61" t="s">
        <v>1</v>
      </c>
      <c r="D2" s="62"/>
      <c r="E2" s="62"/>
      <c r="F2" s="62"/>
      <c r="G2" s="62"/>
      <c r="H2" s="63"/>
    </row>
    <row r="3" spans="2:8" ht="18" x14ac:dyDescent="0.35">
      <c r="B3" s="52" t="s">
        <v>2</v>
      </c>
      <c r="C3" s="1">
        <v>3</v>
      </c>
      <c r="D3" s="53" t="str">
        <f>IF(C3&gt;4,"No viable","Viable")</f>
        <v>Viable</v>
      </c>
      <c r="E3" s="54" t="str">
        <f>CONCATENATE("Las semanas destinadas son: "&amp; C3)</f>
        <v>Las semanas destinadas son: 3</v>
      </c>
      <c r="F3" s="55"/>
      <c r="G3" s="55"/>
      <c r="H3" s="56"/>
    </row>
    <row r="4" spans="2:8" ht="18" x14ac:dyDescent="0.35">
      <c r="B4" s="57" t="s">
        <v>3</v>
      </c>
      <c r="C4" s="58" t="s">
        <v>4</v>
      </c>
      <c r="D4" s="58" t="s">
        <v>5</v>
      </c>
      <c r="E4" s="59" t="s">
        <v>6</v>
      </c>
      <c r="F4" s="58" t="s">
        <v>7</v>
      </c>
      <c r="G4" s="58" t="s">
        <v>8</v>
      </c>
      <c r="H4" s="60" t="s">
        <v>9</v>
      </c>
    </row>
    <row r="5" spans="2:8" ht="57" customHeight="1" x14ac:dyDescent="0.35">
      <c r="B5" s="2" t="s">
        <v>10</v>
      </c>
      <c r="C5" s="12">
        <v>5</v>
      </c>
      <c r="D5" s="12">
        <v>5</v>
      </c>
      <c r="E5" s="12">
        <v>2.9</v>
      </c>
      <c r="F5" s="12">
        <v>4</v>
      </c>
      <c r="G5" s="12">
        <v>58</v>
      </c>
      <c r="H5" s="66">
        <f>AVERAGE(C5:C8)</f>
        <v>6.5</v>
      </c>
    </row>
    <row r="6" spans="2:8" ht="54" x14ac:dyDescent="0.35">
      <c r="B6" s="2" t="s">
        <v>11</v>
      </c>
      <c r="C6" s="12">
        <v>8</v>
      </c>
      <c r="D6" s="13">
        <v>5</v>
      </c>
      <c r="E6" s="13">
        <v>4.5999999999999996</v>
      </c>
      <c r="F6" s="13">
        <v>4</v>
      </c>
      <c r="G6" s="18">
        <v>92</v>
      </c>
      <c r="H6" s="67"/>
    </row>
    <row r="7" spans="2:8" ht="54" x14ac:dyDescent="0.35">
      <c r="B7" s="2" t="s">
        <v>12</v>
      </c>
      <c r="C7" s="12">
        <v>5</v>
      </c>
      <c r="D7" s="13">
        <v>5</v>
      </c>
      <c r="E7" s="13">
        <v>2.9</v>
      </c>
      <c r="F7" s="13">
        <v>4</v>
      </c>
      <c r="G7" s="18">
        <v>58</v>
      </c>
      <c r="H7" s="67"/>
    </row>
    <row r="8" spans="2:8" ht="72.599999999999994" thickBot="1" x14ac:dyDescent="0.4">
      <c r="B8" s="4" t="s">
        <v>13</v>
      </c>
      <c r="C8" s="14">
        <v>8</v>
      </c>
      <c r="D8" s="13">
        <v>5</v>
      </c>
      <c r="E8" s="13">
        <v>4.5999999999999996</v>
      </c>
      <c r="F8" s="13">
        <v>4</v>
      </c>
      <c r="G8" s="18">
        <v>92</v>
      </c>
      <c r="H8" s="68"/>
    </row>
    <row r="9" spans="2:8" ht="15" customHeight="1" thickBot="1" x14ac:dyDescent="0.35"/>
    <row r="10" spans="2:8" ht="15.75" customHeight="1" x14ac:dyDescent="0.35">
      <c r="B10" s="51" t="s">
        <v>14</v>
      </c>
      <c r="C10" s="61" t="s">
        <v>15</v>
      </c>
      <c r="D10" s="62"/>
      <c r="E10" s="62"/>
      <c r="F10" s="62"/>
      <c r="G10" s="62"/>
      <c r="H10" s="63"/>
    </row>
    <row r="11" spans="2:8" ht="15.75" customHeight="1" x14ac:dyDescent="0.35">
      <c r="B11" s="52" t="s">
        <v>2</v>
      </c>
      <c r="C11" s="1">
        <v>3</v>
      </c>
      <c r="D11" s="53" t="str">
        <f>IF(C11&gt;4,"No viable","Viable")</f>
        <v>Viable</v>
      </c>
      <c r="E11" s="54" t="str">
        <f>CONCATENATE("Las semanas destinadas son: "&amp; C11)</f>
        <v>Las semanas destinadas son: 3</v>
      </c>
      <c r="F11" s="55"/>
      <c r="G11" s="55"/>
      <c r="H11" s="56"/>
    </row>
    <row r="12" spans="2:8" ht="15.75" customHeight="1" x14ac:dyDescent="0.35">
      <c r="B12" s="57" t="s">
        <v>3</v>
      </c>
      <c r="C12" s="58" t="s">
        <v>4</v>
      </c>
      <c r="D12" s="58" t="s">
        <v>5</v>
      </c>
      <c r="E12" s="59" t="s">
        <v>6</v>
      </c>
      <c r="F12" s="58" t="s">
        <v>7</v>
      </c>
      <c r="G12" s="58" t="s">
        <v>8</v>
      </c>
      <c r="H12" s="60" t="s">
        <v>9</v>
      </c>
    </row>
    <row r="13" spans="2:8" ht="108" x14ac:dyDescent="0.35">
      <c r="B13" s="2" t="s">
        <v>16</v>
      </c>
      <c r="C13" s="12">
        <v>2</v>
      </c>
      <c r="D13" s="12">
        <v>5</v>
      </c>
      <c r="E13" s="12">
        <v>1.7</v>
      </c>
      <c r="F13" s="12">
        <v>4</v>
      </c>
      <c r="G13" s="12">
        <v>34</v>
      </c>
      <c r="H13" s="19">
        <f>AVERAGE(C13:C16)</f>
        <v>4.5</v>
      </c>
    </row>
    <row r="14" spans="2:8" ht="72" x14ac:dyDescent="0.35">
      <c r="B14" s="2" t="s">
        <v>17</v>
      </c>
      <c r="C14" s="12">
        <v>5</v>
      </c>
      <c r="D14" s="12">
        <v>5</v>
      </c>
      <c r="E14" s="12">
        <v>4.2</v>
      </c>
      <c r="F14" s="12">
        <v>4</v>
      </c>
      <c r="G14" s="12">
        <v>84</v>
      </c>
      <c r="H14" s="64"/>
    </row>
    <row r="15" spans="2:8" ht="54" x14ac:dyDescent="0.35">
      <c r="B15" s="2" t="s">
        <v>18</v>
      </c>
      <c r="C15" s="12">
        <v>3</v>
      </c>
      <c r="D15" s="12">
        <v>5</v>
      </c>
      <c r="E15" s="12">
        <v>2.5</v>
      </c>
      <c r="F15" s="12">
        <v>4</v>
      </c>
      <c r="G15" s="12">
        <v>50</v>
      </c>
      <c r="H15" s="64"/>
    </row>
    <row r="16" spans="2:8" ht="72.599999999999994" thickBot="1" x14ac:dyDescent="0.4">
      <c r="B16" s="3" t="s">
        <v>19</v>
      </c>
      <c r="C16" s="14">
        <v>8</v>
      </c>
      <c r="D16" s="14">
        <v>5</v>
      </c>
      <c r="E16" s="14">
        <v>6.7</v>
      </c>
      <c r="F16" s="14">
        <v>4</v>
      </c>
      <c r="G16" s="14">
        <v>134</v>
      </c>
      <c r="H16" s="65"/>
    </row>
    <row r="17" spans="2:8" ht="15.75" customHeight="1" thickBot="1" x14ac:dyDescent="0.35"/>
    <row r="18" spans="2:8" ht="15.75" customHeight="1" x14ac:dyDescent="0.35">
      <c r="B18" s="51" t="s">
        <v>20</v>
      </c>
      <c r="C18" s="61" t="s">
        <v>26</v>
      </c>
      <c r="D18" s="62"/>
      <c r="E18" s="62"/>
      <c r="F18" s="62"/>
      <c r="G18" s="62"/>
      <c r="H18" s="63"/>
    </row>
    <row r="19" spans="2:8" ht="15.75" customHeight="1" x14ac:dyDescent="0.35">
      <c r="B19" s="52" t="s">
        <v>2</v>
      </c>
      <c r="C19" s="1">
        <v>3</v>
      </c>
      <c r="D19" s="53" t="str">
        <f>IF(C19&gt;4,"No viable","Viable")</f>
        <v>Viable</v>
      </c>
      <c r="E19" s="54" t="str">
        <f>CONCATENATE("Las semanas destinadas son: "&amp; C19)</f>
        <v>Las semanas destinadas son: 3</v>
      </c>
      <c r="F19" s="55"/>
      <c r="G19" s="55"/>
      <c r="H19" s="56"/>
    </row>
    <row r="20" spans="2:8" ht="15.75" customHeight="1" x14ac:dyDescent="0.35">
      <c r="B20" s="57" t="s">
        <v>3</v>
      </c>
      <c r="C20" s="58" t="s">
        <v>4</v>
      </c>
      <c r="D20" s="58" t="s">
        <v>5</v>
      </c>
      <c r="E20" s="59" t="s">
        <v>6</v>
      </c>
      <c r="F20" s="58" t="s">
        <v>7</v>
      </c>
      <c r="G20" s="58" t="s">
        <v>8</v>
      </c>
      <c r="H20" s="60" t="s">
        <v>9</v>
      </c>
    </row>
    <row r="21" spans="2:8" ht="72" x14ac:dyDescent="0.35">
      <c r="B21" s="2" t="s">
        <v>21</v>
      </c>
      <c r="C21" s="12">
        <v>3</v>
      </c>
      <c r="D21" s="12">
        <v>5</v>
      </c>
      <c r="E21" s="12">
        <v>3.2</v>
      </c>
      <c r="F21" s="12">
        <v>4</v>
      </c>
      <c r="G21" s="12">
        <v>64</v>
      </c>
      <c r="H21" s="15">
        <f>AVERAGE(C21:C24)</f>
        <v>3.5</v>
      </c>
    </row>
    <row r="22" spans="2:8" ht="72" x14ac:dyDescent="0.35">
      <c r="B22" s="2" t="s">
        <v>22</v>
      </c>
      <c r="C22" s="12">
        <v>3</v>
      </c>
      <c r="D22" s="12">
        <v>5</v>
      </c>
      <c r="E22" s="12">
        <v>3.2</v>
      </c>
      <c r="F22" s="12">
        <v>4</v>
      </c>
      <c r="G22" s="12">
        <v>64</v>
      </c>
      <c r="H22" s="16"/>
    </row>
    <row r="23" spans="2:8" ht="54" x14ac:dyDescent="0.35">
      <c r="B23" s="5" t="s">
        <v>23</v>
      </c>
      <c r="C23" s="12">
        <v>3</v>
      </c>
      <c r="D23" s="12">
        <v>5</v>
      </c>
      <c r="E23" s="12">
        <v>3.2</v>
      </c>
      <c r="F23" s="12">
        <v>4</v>
      </c>
      <c r="G23" s="12">
        <v>64</v>
      </c>
      <c r="H23" s="16"/>
    </row>
    <row r="24" spans="2:8" ht="72.599999999999994" thickBot="1" x14ac:dyDescent="0.4">
      <c r="B24" s="3" t="s">
        <v>24</v>
      </c>
      <c r="C24" s="14">
        <v>5</v>
      </c>
      <c r="D24" s="14">
        <v>5</v>
      </c>
      <c r="E24" s="14">
        <v>5.4</v>
      </c>
      <c r="F24" s="14">
        <v>4</v>
      </c>
      <c r="G24" s="14">
        <v>108</v>
      </c>
      <c r="H24" s="17"/>
    </row>
    <row r="25" spans="2:8" ht="15.75" customHeight="1" thickBot="1" x14ac:dyDescent="0.35"/>
    <row r="26" spans="2:8" ht="15.75" customHeight="1" x14ac:dyDescent="0.3">
      <c r="B26" s="41" t="s">
        <v>25</v>
      </c>
      <c r="C26" s="69" t="s">
        <v>50</v>
      </c>
      <c r="D26" s="70"/>
      <c r="E26" s="70"/>
      <c r="F26" s="70"/>
      <c r="G26" s="70"/>
      <c r="H26" s="71"/>
    </row>
    <row r="27" spans="2:8" ht="15.75" customHeight="1" x14ac:dyDescent="0.3">
      <c r="B27" s="42" t="s">
        <v>2</v>
      </c>
      <c r="C27" s="40">
        <v>3</v>
      </c>
      <c r="D27" s="43" t="str">
        <f>IF(C27&gt;4,"No viable","Viable")</f>
        <v>Viable</v>
      </c>
      <c r="E27" s="44" t="str">
        <f>CONCATENATE("Las semanas destinadas son: "&amp; C27)</f>
        <v>Las semanas destinadas son: 3</v>
      </c>
      <c r="F27" s="45"/>
      <c r="G27" s="45"/>
      <c r="H27" s="46"/>
    </row>
    <row r="28" spans="2:8" ht="18" x14ac:dyDescent="0.3">
      <c r="B28" s="47" t="s">
        <v>3</v>
      </c>
      <c r="C28" s="48" t="s">
        <v>4</v>
      </c>
      <c r="D28" s="48" t="s">
        <v>5</v>
      </c>
      <c r="E28" s="49" t="s">
        <v>6</v>
      </c>
      <c r="F28" s="48" t="s">
        <v>7</v>
      </c>
      <c r="G28" s="48" t="s">
        <v>8</v>
      </c>
      <c r="H28" s="50" t="s">
        <v>9</v>
      </c>
    </row>
    <row r="29" spans="2:8" ht="90" x14ac:dyDescent="0.35">
      <c r="B29" s="2" t="s">
        <v>59</v>
      </c>
      <c r="C29" s="12">
        <v>5</v>
      </c>
      <c r="D29" s="12">
        <v>5</v>
      </c>
      <c r="E29" s="12">
        <v>4.2</v>
      </c>
      <c r="F29" s="12">
        <v>4</v>
      </c>
      <c r="G29" s="12">
        <v>84</v>
      </c>
      <c r="H29" s="15">
        <f>AVERAGE(C29:C32)</f>
        <v>4.5</v>
      </c>
    </row>
    <row r="30" spans="2:8" ht="72" x14ac:dyDescent="0.35">
      <c r="B30" s="5" t="s">
        <v>60</v>
      </c>
      <c r="C30" s="12">
        <v>5</v>
      </c>
      <c r="D30" s="12">
        <v>5</v>
      </c>
      <c r="E30" s="12">
        <v>4.2</v>
      </c>
      <c r="F30" s="12">
        <v>4</v>
      </c>
      <c r="G30" s="12">
        <v>84</v>
      </c>
      <c r="H30" s="16"/>
    </row>
    <row r="31" spans="2:8" ht="72" x14ac:dyDescent="0.35">
      <c r="B31" s="2" t="s">
        <v>54</v>
      </c>
      <c r="C31" s="12">
        <v>5</v>
      </c>
      <c r="D31" s="12">
        <v>5</v>
      </c>
      <c r="E31" s="12">
        <v>4.2</v>
      </c>
      <c r="F31" s="12">
        <v>4</v>
      </c>
      <c r="G31" s="12">
        <v>84</v>
      </c>
      <c r="H31" s="16"/>
    </row>
    <row r="32" spans="2:8" ht="54.6" thickBot="1" x14ac:dyDescent="0.4">
      <c r="B32" s="3" t="s">
        <v>55</v>
      </c>
      <c r="C32" s="14">
        <v>3</v>
      </c>
      <c r="D32" s="14">
        <v>5</v>
      </c>
      <c r="E32" s="14">
        <v>2.5</v>
      </c>
      <c r="F32" s="14">
        <v>4</v>
      </c>
      <c r="G32" s="14">
        <v>50</v>
      </c>
      <c r="H32" s="17"/>
    </row>
    <row r="33" spans="2:8" ht="15.75" customHeight="1" thickBot="1" x14ac:dyDescent="0.35"/>
    <row r="34" spans="2:8" ht="15.75" customHeight="1" x14ac:dyDescent="0.3">
      <c r="B34" s="34" t="s">
        <v>27</v>
      </c>
      <c r="C34" s="69" t="s">
        <v>34</v>
      </c>
      <c r="D34" s="70"/>
      <c r="E34" s="70"/>
      <c r="F34" s="70"/>
      <c r="G34" s="70"/>
      <c r="H34" s="71"/>
    </row>
    <row r="35" spans="2:8" ht="15.75" customHeight="1" x14ac:dyDescent="0.3">
      <c r="B35" s="35" t="s">
        <v>2</v>
      </c>
      <c r="C35" s="33">
        <v>3</v>
      </c>
      <c r="D35" s="36" t="str">
        <f>IF(C35&gt;4,"No viable","Viable")</f>
        <v>Viable</v>
      </c>
      <c r="E35" s="37" t="str">
        <f>CONCATENATE("Las semanas destinadas son: "&amp; C35)</f>
        <v>Las semanas destinadas son: 3</v>
      </c>
      <c r="F35" s="38"/>
      <c r="G35" s="38"/>
      <c r="H35" s="39"/>
    </row>
    <row r="36" spans="2:8" ht="15.75" customHeight="1" x14ac:dyDescent="0.35">
      <c r="B36" s="7" t="s">
        <v>3</v>
      </c>
      <c r="C36" s="8" t="s">
        <v>4</v>
      </c>
      <c r="D36" s="8" t="s">
        <v>5</v>
      </c>
      <c r="E36" s="9" t="s">
        <v>6</v>
      </c>
      <c r="F36" s="8" t="s">
        <v>7</v>
      </c>
      <c r="G36" s="8" t="s">
        <v>8</v>
      </c>
      <c r="H36" s="10" t="s">
        <v>9</v>
      </c>
    </row>
    <row r="37" spans="2:8" ht="108" x14ac:dyDescent="0.35">
      <c r="B37" s="2" t="s">
        <v>30</v>
      </c>
      <c r="C37" s="18">
        <v>5</v>
      </c>
      <c r="D37" s="18">
        <v>5</v>
      </c>
      <c r="E37" s="18">
        <v>4.2</v>
      </c>
      <c r="F37" s="18">
        <v>4</v>
      </c>
      <c r="G37" s="18">
        <v>84</v>
      </c>
      <c r="H37" s="19">
        <f>AVERAGE(C37:C40)</f>
        <v>4.5</v>
      </c>
    </row>
    <row r="38" spans="2:8" ht="54" customHeight="1" x14ac:dyDescent="0.35">
      <c r="B38" s="2" t="s">
        <v>31</v>
      </c>
      <c r="C38" s="18">
        <v>3</v>
      </c>
      <c r="D38" s="18">
        <v>5</v>
      </c>
      <c r="E38" s="18">
        <v>2.5</v>
      </c>
      <c r="F38" s="18">
        <v>4</v>
      </c>
      <c r="G38" s="18">
        <v>50</v>
      </c>
      <c r="H38" s="20"/>
    </row>
    <row r="39" spans="2:8" ht="72" x14ac:dyDescent="0.35">
      <c r="B39" s="2" t="s">
        <v>36</v>
      </c>
      <c r="C39" s="18">
        <v>5</v>
      </c>
      <c r="D39" s="18">
        <v>5</v>
      </c>
      <c r="E39" s="18">
        <v>4.2</v>
      </c>
      <c r="F39" s="18">
        <v>4</v>
      </c>
      <c r="G39" s="18">
        <v>84</v>
      </c>
      <c r="H39" s="20"/>
    </row>
    <row r="40" spans="2:8" ht="72.599999999999994" thickBot="1" x14ac:dyDescent="0.4">
      <c r="B40" s="3" t="s">
        <v>35</v>
      </c>
      <c r="C40" s="21">
        <v>5</v>
      </c>
      <c r="D40" s="21">
        <v>5</v>
      </c>
      <c r="E40" s="21">
        <v>4.2</v>
      </c>
      <c r="F40" s="21">
        <v>4</v>
      </c>
      <c r="G40" s="21">
        <v>84</v>
      </c>
      <c r="H40" s="22"/>
    </row>
    <row r="41" spans="2:8" ht="15.75" customHeight="1" thickBot="1" x14ac:dyDescent="0.35"/>
    <row r="42" spans="2:8" ht="15.75" customHeight="1" x14ac:dyDescent="0.35">
      <c r="B42" s="23" t="s">
        <v>28</v>
      </c>
      <c r="C42" s="61" t="s">
        <v>33</v>
      </c>
      <c r="D42" s="62"/>
      <c r="E42" s="62"/>
      <c r="F42" s="62"/>
      <c r="G42" s="62"/>
      <c r="H42" s="63"/>
    </row>
    <row r="43" spans="2:8" ht="15.75" customHeight="1" x14ac:dyDescent="0.35">
      <c r="B43" s="24" t="s">
        <v>2</v>
      </c>
      <c r="C43" s="6">
        <v>3</v>
      </c>
      <c r="D43" s="25" t="str">
        <f>IF(C43&gt;4,"No viable","Viable")</f>
        <v>Viable</v>
      </c>
      <c r="E43" s="26" t="str">
        <f>CONCATENATE("Las semanas destinadas son: "&amp; C43)</f>
        <v>Las semanas destinadas son: 3</v>
      </c>
      <c r="F43" s="27"/>
      <c r="G43" s="27"/>
      <c r="H43" s="28"/>
    </row>
    <row r="44" spans="2:8" ht="15.75" customHeight="1" x14ac:dyDescent="0.35">
      <c r="B44" s="29" t="s">
        <v>3</v>
      </c>
      <c r="C44" s="30" t="s">
        <v>4</v>
      </c>
      <c r="D44" s="30" t="s">
        <v>5</v>
      </c>
      <c r="E44" s="31" t="s">
        <v>6</v>
      </c>
      <c r="F44" s="30" t="s">
        <v>7</v>
      </c>
      <c r="G44" s="30" t="s">
        <v>8</v>
      </c>
      <c r="H44" s="32" t="s">
        <v>9</v>
      </c>
    </row>
    <row r="45" spans="2:8" ht="108" x14ac:dyDescent="0.3">
      <c r="B45" s="11" t="s">
        <v>37</v>
      </c>
      <c r="C45" s="18">
        <v>5</v>
      </c>
      <c r="D45" s="18">
        <v>5</v>
      </c>
      <c r="E45" s="18">
        <v>4.2</v>
      </c>
      <c r="F45" s="18">
        <v>4</v>
      </c>
      <c r="G45" s="18">
        <v>84</v>
      </c>
      <c r="H45" s="19">
        <f>AVERAGE(C45:C48)</f>
        <v>4.5</v>
      </c>
    </row>
    <row r="46" spans="2:8" ht="54" x14ac:dyDescent="0.35">
      <c r="B46" s="2" t="s">
        <v>38</v>
      </c>
      <c r="C46" s="18">
        <v>3</v>
      </c>
      <c r="D46" s="18">
        <v>5</v>
      </c>
      <c r="E46" s="18">
        <v>2.5</v>
      </c>
      <c r="F46" s="18">
        <v>4</v>
      </c>
      <c r="G46" s="18">
        <v>50</v>
      </c>
      <c r="H46" s="20"/>
    </row>
    <row r="47" spans="2:8" ht="54" x14ac:dyDescent="0.35">
      <c r="B47" s="2" t="s">
        <v>29</v>
      </c>
      <c r="C47" s="18">
        <v>5</v>
      </c>
      <c r="D47" s="18">
        <v>5</v>
      </c>
      <c r="E47" s="18">
        <v>4.2</v>
      </c>
      <c r="F47" s="18">
        <v>4</v>
      </c>
      <c r="G47" s="18">
        <v>84</v>
      </c>
      <c r="H47" s="20"/>
    </row>
    <row r="48" spans="2:8" ht="72.599999999999994" thickBot="1" x14ac:dyDescent="0.4">
      <c r="B48" s="3" t="s">
        <v>32</v>
      </c>
      <c r="C48" s="21">
        <v>5</v>
      </c>
      <c r="D48" s="21">
        <v>5</v>
      </c>
      <c r="E48" s="21">
        <v>4.2</v>
      </c>
      <c r="F48" s="21">
        <v>4</v>
      </c>
      <c r="G48" s="21">
        <v>84</v>
      </c>
      <c r="H48" s="22"/>
    </row>
    <row r="49" spans="2:8" ht="15.75" customHeight="1" thickBot="1" x14ac:dyDescent="0.35"/>
    <row r="50" spans="2:8" ht="15.75" customHeight="1" x14ac:dyDescent="0.35">
      <c r="B50" s="23" t="s">
        <v>39</v>
      </c>
      <c r="C50" s="61" t="s">
        <v>4</v>
      </c>
      <c r="D50" s="62"/>
      <c r="E50" s="62"/>
      <c r="F50" s="62"/>
      <c r="G50" s="62"/>
      <c r="H50" s="63"/>
    </row>
    <row r="51" spans="2:8" ht="15.75" customHeight="1" x14ac:dyDescent="0.35">
      <c r="B51" s="24" t="s">
        <v>2</v>
      </c>
      <c r="C51" s="6">
        <v>3</v>
      </c>
      <c r="D51" s="25" t="str">
        <f>IF(C51&gt;4,"No viable","Viable")</f>
        <v>Viable</v>
      </c>
      <c r="E51" s="26" t="str">
        <f>CONCATENATE("Las semanas destinadas son: "&amp; C51)</f>
        <v>Las semanas destinadas son: 3</v>
      </c>
      <c r="F51" s="27"/>
      <c r="G51" s="27"/>
      <c r="H51" s="28"/>
    </row>
    <row r="52" spans="2:8" ht="15.75" customHeight="1" x14ac:dyDescent="0.35">
      <c r="B52" s="29" t="s">
        <v>3</v>
      </c>
      <c r="C52" s="30" t="s">
        <v>4</v>
      </c>
      <c r="D52" s="30" t="s">
        <v>5</v>
      </c>
      <c r="E52" s="31" t="s">
        <v>6</v>
      </c>
      <c r="F52" s="30" t="s">
        <v>7</v>
      </c>
      <c r="G52" s="30" t="s">
        <v>8</v>
      </c>
      <c r="H52" s="32" t="s">
        <v>9</v>
      </c>
    </row>
    <row r="53" spans="2:8" ht="72" x14ac:dyDescent="0.3">
      <c r="B53" s="11" t="s">
        <v>40</v>
      </c>
      <c r="C53" s="18">
        <v>8</v>
      </c>
      <c r="D53" s="18">
        <v>5</v>
      </c>
      <c r="E53" s="18">
        <v>4.4000000000000004</v>
      </c>
      <c r="F53" s="18">
        <v>4</v>
      </c>
      <c r="G53" s="18">
        <v>88</v>
      </c>
      <c r="H53" s="19">
        <f>AVERAGE(C53:C56)</f>
        <v>6.75</v>
      </c>
    </row>
    <row r="54" spans="2:8" ht="72" x14ac:dyDescent="0.35">
      <c r="B54" s="2" t="s">
        <v>41</v>
      </c>
      <c r="C54" s="18">
        <v>8</v>
      </c>
      <c r="D54" s="18">
        <v>5</v>
      </c>
      <c r="E54" s="18">
        <v>4.4000000000000004</v>
      </c>
      <c r="F54" s="18">
        <v>4</v>
      </c>
      <c r="G54" s="18">
        <v>88</v>
      </c>
      <c r="H54" s="20"/>
    </row>
    <row r="55" spans="2:8" ht="54" x14ac:dyDescent="0.35">
      <c r="B55" s="2" t="s">
        <v>42</v>
      </c>
      <c r="C55" s="18">
        <v>3</v>
      </c>
      <c r="D55" s="18">
        <v>5</v>
      </c>
      <c r="E55" s="18">
        <v>1.7</v>
      </c>
      <c r="F55" s="18">
        <v>4</v>
      </c>
      <c r="G55" s="18">
        <v>34</v>
      </c>
      <c r="H55" s="20"/>
    </row>
    <row r="56" spans="2:8" ht="72.599999999999994" thickBot="1" x14ac:dyDescent="0.4">
      <c r="B56" s="3" t="s">
        <v>43</v>
      </c>
      <c r="C56" s="21">
        <v>8</v>
      </c>
      <c r="D56" s="21">
        <v>5</v>
      </c>
      <c r="E56" s="21">
        <v>4.4000000000000004</v>
      </c>
      <c r="F56" s="21">
        <v>4</v>
      </c>
      <c r="G56" s="21">
        <v>88</v>
      </c>
      <c r="H56" s="22"/>
    </row>
    <row r="57" spans="2:8" ht="15.75" customHeight="1" thickBot="1" x14ac:dyDescent="0.35"/>
    <row r="58" spans="2:8" ht="15.75" customHeight="1" x14ac:dyDescent="0.35">
      <c r="B58" s="23" t="s">
        <v>48</v>
      </c>
      <c r="C58" s="61" t="s">
        <v>49</v>
      </c>
      <c r="D58" s="62"/>
      <c r="E58" s="62"/>
      <c r="F58" s="62"/>
      <c r="G58" s="62"/>
      <c r="H58" s="63"/>
    </row>
    <row r="59" spans="2:8" ht="15.75" customHeight="1" x14ac:dyDescent="0.35">
      <c r="B59" s="24" t="s">
        <v>2</v>
      </c>
      <c r="C59" s="6">
        <v>3</v>
      </c>
      <c r="D59" s="25" t="str">
        <f>IF(C59&gt;4,"No viable","Viable")</f>
        <v>Viable</v>
      </c>
      <c r="E59" s="26" t="str">
        <f>CONCATENATE("Las semanas destinadas son: "&amp; C59)</f>
        <v>Las semanas destinadas son: 3</v>
      </c>
      <c r="F59" s="27"/>
      <c r="G59" s="27"/>
      <c r="H59" s="28"/>
    </row>
    <row r="60" spans="2:8" ht="15.75" customHeight="1" x14ac:dyDescent="0.35">
      <c r="B60" s="29" t="s">
        <v>3</v>
      </c>
      <c r="C60" s="30" t="s">
        <v>4</v>
      </c>
      <c r="D60" s="30" t="s">
        <v>5</v>
      </c>
      <c r="E60" s="31" t="s">
        <v>6</v>
      </c>
      <c r="F60" s="30" t="s">
        <v>7</v>
      </c>
      <c r="G60" s="30" t="s">
        <v>8</v>
      </c>
      <c r="H60" s="32" t="s">
        <v>9</v>
      </c>
    </row>
    <row r="61" spans="2:8" ht="54" x14ac:dyDescent="0.3">
      <c r="B61" s="11" t="s">
        <v>47</v>
      </c>
      <c r="C61" s="18">
        <v>3</v>
      </c>
      <c r="D61" s="18">
        <v>5</v>
      </c>
      <c r="E61" s="18">
        <v>1.9</v>
      </c>
      <c r="F61" s="18">
        <v>4</v>
      </c>
      <c r="G61" s="18">
        <v>38</v>
      </c>
      <c r="H61" s="19">
        <f>AVERAGE(C61:C64)</f>
        <v>6</v>
      </c>
    </row>
    <row r="62" spans="2:8" ht="54" x14ac:dyDescent="0.35">
      <c r="B62" s="2" t="s">
        <v>46</v>
      </c>
      <c r="C62" s="18">
        <v>8</v>
      </c>
      <c r="D62" s="18">
        <v>5</v>
      </c>
      <c r="E62" s="18">
        <v>5</v>
      </c>
      <c r="F62" s="18">
        <v>4</v>
      </c>
      <c r="G62" s="18">
        <v>100</v>
      </c>
      <c r="H62" s="20"/>
    </row>
    <row r="63" spans="2:8" ht="72" x14ac:dyDescent="0.35">
      <c r="B63" s="2" t="s">
        <v>44</v>
      </c>
      <c r="C63" s="18">
        <v>5</v>
      </c>
      <c r="D63" s="18">
        <v>5</v>
      </c>
      <c r="E63" s="18">
        <v>3.1</v>
      </c>
      <c r="F63" s="18">
        <v>4</v>
      </c>
      <c r="G63" s="18">
        <v>62</v>
      </c>
      <c r="H63" s="20"/>
    </row>
    <row r="64" spans="2:8" ht="54.6" thickBot="1" x14ac:dyDescent="0.4">
      <c r="B64" s="3" t="s">
        <v>45</v>
      </c>
      <c r="C64" s="21">
        <v>8</v>
      </c>
      <c r="D64" s="21">
        <v>5</v>
      </c>
      <c r="E64" s="21">
        <v>5</v>
      </c>
      <c r="F64" s="21">
        <v>4</v>
      </c>
      <c r="G64" s="21">
        <v>100</v>
      </c>
      <c r="H64" s="22"/>
    </row>
    <row r="65" spans="2:8" ht="15.75" customHeight="1" thickBot="1" x14ac:dyDescent="0.35"/>
    <row r="66" spans="2:8" ht="15.75" customHeight="1" x14ac:dyDescent="0.35">
      <c r="B66" s="23" t="s">
        <v>51</v>
      </c>
      <c r="C66" s="61" t="s">
        <v>52</v>
      </c>
      <c r="D66" s="62"/>
      <c r="E66" s="62"/>
      <c r="F66" s="62"/>
      <c r="G66" s="62"/>
      <c r="H66" s="63"/>
    </row>
    <row r="67" spans="2:8" ht="15.75" customHeight="1" x14ac:dyDescent="0.35">
      <c r="B67" s="24" t="s">
        <v>2</v>
      </c>
      <c r="C67" s="6">
        <v>3</v>
      </c>
      <c r="D67" s="25" t="str">
        <f>IF(C67&gt;4,"No viable","Viable")</f>
        <v>Viable</v>
      </c>
      <c r="E67" s="26" t="str">
        <f>CONCATENATE("Las semanas destinadas son: "&amp; C67)</f>
        <v>Las semanas destinadas son: 3</v>
      </c>
      <c r="F67" s="27"/>
      <c r="G67" s="27"/>
      <c r="H67" s="28"/>
    </row>
    <row r="68" spans="2:8" ht="15.75" customHeight="1" x14ac:dyDescent="0.35">
      <c r="B68" s="29" t="s">
        <v>3</v>
      </c>
      <c r="C68" s="30" t="s">
        <v>4</v>
      </c>
      <c r="D68" s="30" t="s">
        <v>5</v>
      </c>
      <c r="E68" s="31" t="s">
        <v>6</v>
      </c>
      <c r="F68" s="30" t="s">
        <v>7</v>
      </c>
      <c r="G68" s="30" t="s">
        <v>8</v>
      </c>
      <c r="H68" s="32" t="s">
        <v>9</v>
      </c>
    </row>
    <row r="69" spans="2:8" ht="72" x14ac:dyDescent="0.3">
      <c r="B69" s="11" t="s">
        <v>53</v>
      </c>
      <c r="C69" s="18">
        <v>3</v>
      </c>
      <c r="D69" s="18">
        <v>5</v>
      </c>
      <c r="E69" s="18">
        <v>2.8</v>
      </c>
      <c r="F69" s="18">
        <v>4</v>
      </c>
      <c r="G69" s="18">
        <v>56</v>
      </c>
      <c r="H69" s="19">
        <f>AVERAGE(C69:C72)</f>
        <v>4</v>
      </c>
    </row>
    <row r="70" spans="2:8" ht="108" x14ac:dyDescent="0.35">
      <c r="B70" s="2" t="s">
        <v>56</v>
      </c>
      <c r="C70" s="18">
        <v>5</v>
      </c>
      <c r="D70" s="18">
        <v>5</v>
      </c>
      <c r="E70" s="18">
        <v>4.7</v>
      </c>
      <c r="F70" s="18">
        <v>4</v>
      </c>
      <c r="G70" s="18">
        <v>94</v>
      </c>
      <c r="H70" s="20"/>
    </row>
    <row r="71" spans="2:8" ht="90" x14ac:dyDescent="0.35">
      <c r="B71" s="2" t="s">
        <v>57</v>
      </c>
      <c r="C71" s="18">
        <v>5</v>
      </c>
      <c r="D71" s="18">
        <v>5</v>
      </c>
      <c r="E71" s="18">
        <v>4.7</v>
      </c>
      <c r="F71" s="18">
        <v>4</v>
      </c>
      <c r="G71" s="18">
        <v>94</v>
      </c>
      <c r="H71" s="20"/>
    </row>
    <row r="72" spans="2:8" ht="90.6" thickBot="1" x14ac:dyDescent="0.4">
      <c r="B72" s="3" t="s">
        <v>58</v>
      </c>
      <c r="C72" s="21">
        <v>3</v>
      </c>
      <c r="D72" s="21">
        <v>5</v>
      </c>
      <c r="E72" s="21">
        <v>2.8</v>
      </c>
      <c r="F72" s="21">
        <v>4</v>
      </c>
      <c r="G72" s="21">
        <v>56</v>
      </c>
      <c r="H72" s="22"/>
    </row>
    <row r="73" spans="2:8" ht="15.75" customHeight="1" x14ac:dyDescent="0.3"/>
    <row r="74" spans="2:8" ht="15.75" customHeight="1" x14ac:dyDescent="0.3"/>
    <row r="75" spans="2:8" ht="15.75" customHeight="1" x14ac:dyDescent="0.3"/>
    <row r="76" spans="2:8" ht="15.75" customHeight="1" x14ac:dyDescent="0.3"/>
    <row r="77" spans="2:8" ht="15.75" customHeight="1" x14ac:dyDescent="0.3"/>
    <row r="78" spans="2:8" ht="15.75" customHeight="1" x14ac:dyDescent="0.3"/>
    <row r="79" spans="2:8" ht="15.75" customHeight="1" x14ac:dyDescent="0.3"/>
    <row r="80" spans="2:8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</sheetData>
  <mergeCells count="27">
    <mergeCell ref="E67:H67"/>
    <mergeCell ref="H69:H72"/>
    <mergeCell ref="C58:H58"/>
    <mergeCell ref="E59:H59"/>
    <mergeCell ref="H61:H64"/>
    <mergeCell ref="C66:H66"/>
    <mergeCell ref="H45:H48"/>
    <mergeCell ref="C50:H50"/>
    <mergeCell ref="E51:H51"/>
    <mergeCell ref="H53:H56"/>
    <mergeCell ref="H5:H8"/>
    <mergeCell ref="C34:H34"/>
    <mergeCell ref="E35:H35"/>
    <mergeCell ref="H37:H40"/>
    <mergeCell ref="C42:H42"/>
    <mergeCell ref="E43:H43"/>
    <mergeCell ref="H29:H32"/>
    <mergeCell ref="C26:H26"/>
    <mergeCell ref="E27:H27"/>
    <mergeCell ref="C2:H2"/>
    <mergeCell ref="E3:H3"/>
    <mergeCell ref="H13:H16"/>
    <mergeCell ref="H21:H24"/>
    <mergeCell ref="C10:H10"/>
    <mergeCell ref="E11:H11"/>
    <mergeCell ref="C18:H18"/>
    <mergeCell ref="E19:H19"/>
  </mergeCells>
  <dataValidations count="1">
    <dataValidation type="decimal" operator="lessThanOrEqual" allowBlank="1" showDropDown="1" showErrorMessage="1" sqref="C3 C11 C19 C27 C35 C43 C51 C59 C67" xr:uid="{00000000-0002-0000-0000-000000000000}">
      <formula1>4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Camilo's PC</dc:creator>
  <cp:keywords/>
  <dc:description/>
  <cp:lastModifiedBy>Julián Machado</cp:lastModifiedBy>
  <cp:revision/>
  <dcterms:created xsi:type="dcterms:W3CDTF">2026-05-04T16:39:58Z</dcterms:created>
  <dcterms:modified xsi:type="dcterms:W3CDTF">2026-05-14T04:58:53Z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2026-05-08T02:23:50Z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02520f8c-8746-4c6a-ba6a-6322c105eeec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